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AnaliseFinanceira\"/>
    </mc:Choice>
  </mc:AlternateContent>
  <xr:revisionPtr revIDLastSave="0" documentId="13_ncr:1_{EE149EE8-505A-4E1F-9B74-CBC8B5A6521C}" xr6:coauthVersionLast="47" xr6:coauthVersionMax="47" xr10:uidLastSave="{00000000-0000-0000-0000-000000000000}"/>
  <bookViews>
    <workbookView xWindow="-120" yWindow="-120" windowWidth="20730" windowHeight="11160" xr2:uid="{74168177-084A-4777-A170-3526457485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" i="1" l="1"/>
  <c r="D209" i="1"/>
  <c r="D210" i="1"/>
  <c r="D207" i="1"/>
  <c r="D199" i="1"/>
  <c r="D200" i="1"/>
  <c r="D201" i="1" s="1"/>
  <c r="D202" i="1" s="1"/>
  <c r="D203" i="1" s="1"/>
  <c r="D204" i="1" s="1"/>
  <c r="D205" i="1" s="1"/>
  <c r="D206" i="1" s="1"/>
  <c r="D187" i="1"/>
  <c r="D188" i="1"/>
  <c r="D189" i="1"/>
  <c r="D190" i="1"/>
  <c r="D191" i="1"/>
  <c r="D192" i="1" s="1"/>
  <c r="D193" i="1" s="1"/>
  <c r="D194" i="1" s="1"/>
  <c r="D195" i="1" s="1"/>
  <c r="D196" i="1" s="1"/>
  <c r="D197" i="1" s="1"/>
  <c r="D198" i="1" s="1"/>
  <c r="D186" i="1"/>
  <c r="D184" i="1"/>
  <c r="D185" i="1"/>
  <c r="D183" i="1"/>
  <c r="D177" i="1"/>
  <c r="D178" i="1" s="1"/>
  <c r="D179" i="1" s="1"/>
  <c r="D180" i="1" s="1"/>
  <c r="D181" i="1" s="1"/>
  <c r="D182" i="1" s="1"/>
  <c r="D176" i="1"/>
  <c r="D174" i="1"/>
  <c r="D175" i="1"/>
  <c r="D173" i="1"/>
  <c r="D171" i="1"/>
  <c r="D172" i="1" s="1"/>
  <c r="D170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l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</calcChain>
</file>

<file path=xl/sharedStrings.xml><?xml version="1.0" encoding="utf-8"?>
<sst xmlns="http://schemas.openxmlformats.org/spreadsheetml/2006/main" count="213" uniqueCount="62">
  <si>
    <t>Saldo</t>
  </si>
  <si>
    <t>Data</t>
  </si>
  <si>
    <t>Valor</t>
  </si>
  <si>
    <t>Descrição</t>
  </si>
  <si>
    <t>Adiantamento</t>
  </si>
  <si>
    <t>Conta Luz</t>
  </si>
  <si>
    <t>Conta Internet</t>
  </si>
  <si>
    <t>Lanche</t>
  </si>
  <si>
    <t>Variados</t>
  </si>
  <si>
    <t>Resultante</t>
  </si>
  <si>
    <t>Farmácia</t>
  </si>
  <si>
    <t>Hamburguer</t>
  </si>
  <si>
    <t>Silveira</t>
  </si>
  <si>
    <t>Compra</t>
  </si>
  <si>
    <t>Shopee</t>
  </si>
  <si>
    <t>Conta Celular</t>
  </si>
  <si>
    <t>Gula</t>
  </si>
  <si>
    <t>Salário</t>
  </si>
  <si>
    <t>Aviário</t>
  </si>
  <si>
    <t>Cabelo</t>
  </si>
  <si>
    <t>Leo (Cinema)</t>
  </si>
  <si>
    <t>Sorveteria</t>
  </si>
  <si>
    <t>Uber (Cinema)</t>
  </si>
  <si>
    <t>Banco</t>
  </si>
  <si>
    <t>Contas mãe</t>
  </si>
  <si>
    <t>Adry</t>
  </si>
  <si>
    <t>Anna (Hotel)</t>
  </si>
  <si>
    <t>Ovo Páscoa</t>
  </si>
  <si>
    <t>Gasolina</t>
  </si>
  <si>
    <t>Perfume</t>
  </si>
  <si>
    <t>Americanas (Viagem)</t>
  </si>
  <si>
    <t>Páscoa</t>
  </si>
  <si>
    <t>Diennifer (Viagem)</t>
  </si>
  <si>
    <t>Viagem</t>
  </si>
  <si>
    <t>Anna (Viagem)</t>
  </si>
  <si>
    <t>Poupança</t>
  </si>
  <si>
    <t>Teclado</t>
  </si>
  <si>
    <t>Uber</t>
  </si>
  <si>
    <t>Coxinha (Pelanda)</t>
  </si>
  <si>
    <t>Shopee (HUB USB)</t>
  </si>
  <si>
    <t>Ifood (Mãe)</t>
  </si>
  <si>
    <t>Recarga Cartão</t>
  </si>
  <si>
    <t>Mãe</t>
  </si>
  <si>
    <t>Conta Dentista</t>
  </si>
  <si>
    <t>Pai</t>
  </si>
  <si>
    <t>Panorâmica</t>
  </si>
  <si>
    <t>Aniversário</t>
  </si>
  <si>
    <t>Pizza</t>
  </si>
  <si>
    <t>Jeronimo</t>
  </si>
  <si>
    <t>Presente</t>
  </si>
  <si>
    <t>Fut no bragante</t>
  </si>
  <si>
    <t>Tênis</t>
  </si>
  <si>
    <t>Parcela TV</t>
  </si>
  <si>
    <t>Rolê</t>
  </si>
  <si>
    <t>Ração Cães</t>
  </si>
  <si>
    <t>Reforma</t>
  </si>
  <si>
    <t>Compra Aliexpress (Crédito)</t>
  </si>
  <si>
    <t xml:space="preserve">Lanche </t>
  </si>
  <si>
    <t>Almoço Prévia</t>
  </si>
  <si>
    <t>Parcela Sanduicheira</t>
  </si>
  <si>
    <t>Presente Pai</t>
  </si>
  <si>
    <t>Almoço dia dos Pais (Crédito)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</si>
</sst>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64" formatCode="&quot;R$&quot;\ #,##0.0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B2AE9-C013-4346-95C7-7B534906ACF0}" name="Tabela1" displayName="Tabela1" ref="A1:D210" totalsRowShown="0">
  <tableColumns count="4">
    <tableColumn id="1" xr3:uid="{C5F83BC1-D876-42B3-9767-3571E5A0EECF}" name="Data" dataDxfId="2"/>
    <tableColumn id="2" xr3:uid="{5956F031-62B2-4AC2-8CE3-AAF7E8694222}" name="Valor" dataDxfId="1"/>
    <tableColumn id="4" xr3:uid="{9619F359-9D78-4EF1-B4B4-1CF7A2A4217D}" name="Descrição"/>
    <tableColumn id="3" xr3:uid="{AB7D4215-2CA2-445E-A55E-904E3A6A564E}" name="Saldo" dataDxfId="0">
      <calculatedColumnFormula>B2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4E0C-C906-4F62-B178-6DA6C6F5BBD1}">
  <dimension ref="A1:L210"/>
  <sheetViews>
    <sheetView tabSelected="1" topLeftCell="A195" workbookViewId="0">
      <selection activeCell="E207" sqref="E207"/>
    </sheetView>
  </sheetViews>
  <sheetFormatPr defaultRowHeight="15" x14ac:dyDescent="0.25"/>
  <cols>
    <col min="1" max="1" width="10.42578125" style="1" bestFit="1" customWidth="1"/>
    <col min="2" max="2" width="10.7109375" style="2" bestFit="1" customWidth="1"/>
    <col min="3" max="3" width="31.42578125" customWidth="1"/>
    <col min="4" max="4" width="13.28515625" customWidth="1"/>
    <col min="5" max="5" width="10.7109375" style="2" bestFit="1" customWidth="1"/>
    <col min="7" max="7" width="18.140625" customWidth="1"/>
  </cols>
  <sheetData>
    <row r="1" spans="1:5" x14ac:dyDescent="0.25">
      <c r="A1" s="1" t="s">
        <v>1</v>
      </c>
      <c r="B1" s="2" t="s">
        <v>2</v>
      </c>
      <c r="C1" t="s">
        <v>3</v>
      </c>
      <c r="D1" s="2" t="s">
        <v>0</v>
      </c>
      <c r="E1"/>
    </row>
    <row r="2" spans="1:5" x14ac:dyDescent="0.25">
      <c r="A2" s="1">
        <v>45716</v>
      </c>
      <c r="B2" s="2">
        <v>374</v>
      </c>
      <c r="C2" t="s">
        <v>9</v>
      </c>
      <c r="D2" s="2">
        <f>B2</f>
        <v>374</v>
      </c>
      <c r="E2"/>
    </row>
    <row r="3" spans="1:5" x14ac:dyDescent="0.25">
      <c r="A3" s="1">
        <v>45693</v>
      </c>
      <c r="B3" s="2">
        <v>-161.28</v>
      </c>
      <c r="C3" t="s">
        <v>5</v>
      </c>
      <c r="D3" s="2">
        <f t="shared" ref="D3:D34" si="0">D2+B3</f>
        <v>212.72</v>
      </c>
      <c r="E3"/>
    </row>
    <row r="4" spans="1:5" x14ac:dyDescent="0.25">
      <c r="A4" s="1">
        <v>45722</v>
      </c>
      <c r="B4" s="2">
        <v>-99.9</v>
      </c>
      <c r="C4" t="s">
        <v>6</v>
      </c>
      <c r="D4" s="2">
        <f t="shared" si="0"/>
        <v>112.82</v>
      </c>
      <c r="E4"/>
    </row>
    <row r="5" spans="1:5" x14ac:dyDescent="0.25">
      <c r="A5" s="1">
        <v>45723</v>
      </c>
      <c r="B5" s="2">
        <v>-13.5</v>
      </c>
      <c r="C5" t="s">
        <v>7</v>
      </c>
      <c r="D5" s="2">
        <f t="shared" si="0"/>
        <v>99.32</v>
      </c>
      <c r="E5"/>
    </row>
    <row r="6" spans="1:5" x14ac:dyDescent="0.25">
      <c r="A6" s="1">
        <v>45723</v>
      </c>
      <c r="B6" s="2">
        <v>-9.5</v>
      </c>
      <c r="C6" t="s">
        <v>7</v>
      </c>
      <c r="D6" s="2">
        <f t="shared" si="0"/>
        <v>89.82</v>
      </c>
      <c r="E6"/>
    </row>
    <row r="7" spans="1:5" x14ac:dyDescent="0.25">
      <c r="A7" s="1">
        <v>45726</v>
      </c>
      <c r="B7" s="2">
        <v>-72.64</v>
      </c>
      <c r="C7" t="s">
        <v>8</v>
      </c>
      <c r="D7" s="2">
        <f t="shared" si="0"/>
        <v>17.179999999999993</v>
      </c>
      <c r="E7"/>
    </row>
    <row r="8" spans="1:5" x14ac:dyDescent="0.25">
      <c r="A8" s="1">
        <v>45730</v>
      </c>
      <c r="B8" s="2">
        <v>908</v>
      </c>
      <c r="C8" t="s">
        <v>4</v>
      </c>
      <c r="D8" s="2">
        <f t="shared" si="0"/>
        <v>925.18</v>
      </c>
      <c r="E8"/>
    </row>
    <row r="9" spans="1:5" x14ac:dyDescent="0.25">
      <c r="A9" s="1">
        <v>45730</v>
      </c>
      <c r="B9" s="2">
        <v>-31.97</v>
      </c>
      <c r="C9" t="s">
        <v>10</v>
      </c>
      <c r="D9" s="2">
        <f t="shared" si="0"/>
        <v>893.20999999999992</v>
      </c>
      <c r="E9"/>
    </row>
    <row r="10" spans="1:5" x14ac:dyDescent="0.25">
      <c r="A10" s="1">
        <v>45730</v>
      </c>
      <c r="B10" s="2">
        <v>-81.8</v>
      </c>
      <c r="C10" t="s">
        <v>11</v>
      </c>
      <c r="D10" s="2">
        <f t="shared" si="0"/>
        <v>811.41</v>
      </c>
      <c r="E10"/>
    </row>
    <row r="11" spans="1:5" x14ac:dyDescent="0.25">
      <c r="A11" s="1">
        <v>45733</v>
      </c>
      <c r="B11" s="2">
        <v>-78.88</v>
      </c>
      <c r="C11" t="s">
        <v>12</v>
      </c>
      <c r="D11" s="2">
        <f t="shared" si="0"/>
        <v>732.53</v>
      </c>
      <c r="E11"/>
    </row>
    <row r="12" spans="1:5" x14ac:dyDescent="0.25">
      <c r="A12" s="1">
        <v>45733</v>
      </c>
      <c r="B12" s="2">
        <v>-89.7</v>
      </c>
      <c r="C12" t="s">
        <v>13</v>
      </c>
      <c r="D12" s="2">
        <f t="shared" si="0"/>
        <v>642.82999999999993</v>
      </c>
      <c r="E12"/>
    </row>
    <row r="13" spans="1:5" x14ac:dyDescent="0.25">
      <c r="A13" s="1">
        <v>45733</v>
      </c>
      <c r="B13" s="2">
        <v>-54.95</v>
      </c>
      <c r="C13" t="s">
        <v>14</v>
      </c>
      <c r="D13" s="2">
        <f t="shared" si="0"/>
        <v>587.87999999999988</v>
      </c>
      <c r="E13"/>
    </row>
    <row r="14" spans="1:5" x14ac:dyDescent="0.25">
      <c r="A14" s="1">
        <v>45734</v>
      </c>
      <c r="B14" s="2">
        <v>-20</v>
      </c>
      <c r="C14" t="s">
        <v>15</v>
      </c>
      <c r="D14" s="2">
        <f t="shared" si="0"/>
        <v>567.87999999999988</v>
      </c>
      <c r="E14"/>
    </row>
    <row r="15" spans="1:5" x14ac:dyDescent="0.25">
      <c r="A15" s="1">
        <v>45734</v>
      </c>
      <c r="B15" s="2">
        <v>-142.44999999999999</v>
      </c>
      <c r="C15" t="s">
        <v>14</v>
      </c>
      <c r="D15" s="2">
        <f t="shared" si="0"/>
        <v>425.42999999999989</v>
      </c>
      <c r="E15"/>
    </row>
    <row r="16" spans="1:5" x14ac:dyDescent="0.25">
      <c r="A16" s="1">
        <v>45737</v>
      </c>
      <c r="B16" s="2">
        <v>-9</v>
      </c>
      <c r="C16" t="s">
        <v>8</v>
      </c>
      <c r="D16" s="2">
        <f t="shared" si="0"/>
        <v>416.42999999999989</v>
      </c>
      <c r="E16"/>
    </row>
    <row r="17" spans="1:12" x14ac:dyDescent="0.25">
      <c r="A17" s="1">
        <v>45737</v>
      </c>
      <c r="B17" s="2">
        <v>-14.99</v>
      </c>
      <c r="C17" t="s">
        <v>16</v>
      </c>
      <c r="D17" s="2">
        <f t="shared" si="0"/>
        <v>401.43999999999988</v>
      </c>
      <c r="E17"/>
    </row>
    <row r="18" spans="1:12" x14ac:dyDescent="0.25">
      <c r="A18" s="1">
        <v>45740</v>
      </c>
      <c r="B18" s="2">
        <v>-59.9</v>
      </c>
      <c r="C18" t="s">
        <v>8</v>
      </c>
      <c r="D18" s="2">
        <f t="shared" si="0"/>
        <v>341.53999999999991</v>
      </c>
      <c r="E18"/>
    </row>
    <row r="19" spans="1:12" x14ac:dyDescent="0.25">
      <c r="A19" s="1">
        <v>45740</v>
      </c>
      <c r="B19" s="2">
        <v>-32.729999999999997</v>
      </c>
      <c r="C19" t="s">
        <v>12</v>
      </c>
      <c r="D19" s="2">
        <f t="shared" si="0"/>
        <v>308.80999999999989</v>
      </c>
      <c r="E19"/>
    </row>
    <row r="20" spans="1:12" x14ac:dyDescent="0.25">
      <c r="A20" s="1">
        <v>45742</v>
      </c>
      <c r="B20" s="2">
        <v>-20</v>
      </c>
      <c r="C20" t="s">
        <v>8</v>
      </c>
      <c r="D20" s="2">
        <f t="shared" si="0"/>
        <v>288.80999999999989</v>
      </c>
      <c r="E20"/>
    </row>
    <row r="21" spans="1:12" x14ac:dyDescent="0.25">
      <c r="A21" s="1">
        <v>45744</v>
      </c>
      <c r="B21" s="2">
        <v>1034.6199999999999</v>
      </c>
      <c r="C21" t="s">
        <v>17</v>
      </c>
      <c r="D21" s="2">
        <f t="shared" si="0"/>
        <v>1323.4299999999998</v>
      </c>
      <c r="E21"/>
    </row>
    <row r="22" spans="1:12" x14ac:dyDescent="0.25">
      <c r="A22" s="1">
        <v>45744</v>
      </c>
      <c r="B22" s="2">
        <v>-5.7</v>
      </c>
      <c r="C22" t="s">
        <v>8</v>
      </c>
      <c r="D22" s="2">
        <f t="shared" si="0"/>
        <v>1317.7299999999998</v>
      </c>
      <c r="E22"/>
    </row>
    <row r="23" spans="1:12" x14ac:dyDescent="0.25">
      <c r="A23" s="1">
        <v>45747</v>
      </c>
      <c r="B23" s="2">
        <v>-20</v>
      </c>
      <c r="C23" t="s">
        <v>18</v>
      </c>
      <c r="D23" s="2">
        <f t="shared" si="0"/>
        <v>1297.7299999999998</v>
      </c>
      <c r="E23"/>
    </row>
    <row r="24" spans="1:12" x14ac:dyDescent="0.25">
      <c r="A24" s="1">
        <v>45747</v>
      </c>
      <c r="B24" s="2">
        <v>-40</v>
      </c>
      <c r="C24" t="s">
        <v>19</v>
      </c>
      <c r="D24" s="2">
        <f t="shared" si="0"/>
        <v>1257.7299999999998</v>
      </c>
      <c r="E24"/>
    </row>
    <row r="25" spans="1:12" x14ac:dyDescent="0.25">
      <c r="A25" s="1">
        <v>45747</v>
      </c>
      <c r="B25" s="2">
        <v>-90.1</v>
      </c>
      <c r="C25" t="s">
        <v>12</v>
      </c>
      <c r="D25" s="2">
        <f t="shared" si="0"/>
        <v>1167.6299999999999</v>
      </c>
      <c r="E25"/>
    </row>
    <row r="26" spans="1:12" x14ac:dyDescent="0.25">
      <c r="A26" s="1">
        <v>45747</v>
      </c>
      <c r="B26" s="2">
        <v>-82.5</v>
      </c>
      <c r="C26" t="s">
        <v>20</v>
      </c>
      <c r="D26" s="2">
        <f t="shared" si="0"/>
        <v>1085.1299999999999</v>
      </c>
      <c r="E26"/>
      <c r="L26" s="3"/>
    </row>
    <row r="27" spans="1:12" x14ac:dyDescent="0.25">
      <c r="A27" s="1">
        <v>45747</v>
      </c>
      <c r="B27" s="2">
        <v>-32</v>
      </c>
      <c r="C27" t="s">
        <v>21</v>
      </c>
      <c r="D27" s="2">
        <f t="shared" si="0"/>
        <v>1053.1299999999999</v>
      </c>
      <c r="E27"/>
    </row>
    <row r="28" spans="1:12" x14ac:dyDescent="0.25">
      <c r="A28" s="1">
        <v>45747</v>
      </c>
      <c r="B28" s="2">
        <v>-144.51</v>
      </c>
      <c r="C28" t="s">
        <v>5</v>
      </c>
      <c r="D28" s="2">
        <f t="shared" si="0"/>
        <v>908.61999999999989</v>
      </c>
      <c r="E28"/>
    </row>
    <row r="29" spans="1:12" x14ac:dyDescent="0.25">
      <c r="A29" s="1">
        <v>45747</v>
      </c>
      <c r="B29" s="2">
        <v>-56.98</v>
      </c>
      <c r="C29" t="s">
        <v>14</v>
      </c>
      <c r="D29" s="2">
        <f t="shared" si="0"/>
        <v>851.63999999999987</v>
      </c>
      <c r="E29"/>
    </row>
    <row r="30" spans="1:12" x14ac:dyDescent="0.25">
      <c r="A30" s="1">
        <v>45747</v>
      </c>
      <c r="B30" s="2">
        <v>-89.49</v>
      </c>
      <c r="C30" t="s">
        <v>8</v>
      </c>
      <c r="D30" s="2">
        <f t="shared" si="0"/>
        <v>762.14999999999986</v>
      </c>
      <c r="E30"/>
    </row>
    <row r="31" spans="1:12" x14ac:dyDescent="0.25">
      <c r="A31" s="1">
        <v>45749</v>
      </c>
      <c r="B31" s="2">
        <v>-5.7</v>
      </c>
      <c r="C31" t="s">
        <v>8</v>
      </c>
      <c r="D31" s="2">
        <f t="shared" si="0"/>
        <v>756.44999999999982</v>
      </c>
      <c r="E31"/>
    </row>
    <row r="32" spans="1:12" x14ac:dyDescent="0.25">
      <c r="A32" s="1">
        <v>45751</v>
      </c>
      <c r="B32" s="2">
        <v>-37.950000000000003</v>
      </c>
      <c r="C32" t="s">
        <v>10</v>
      </c>
      <c r="D32" s="2">
        <f t="shared" si="0"/>
        <v>718.49999999999977</v>
      </c>
      <c r="E32"/>
    </row>
    <row r="33" spans="1:5" x14ac:dyDescent="0.25">
      <c r="A33" s="1">
        <v>45754</v>
      </c>
      <c r="B33" s="2">
        <v>-25.91</v>
      </c>
      <c r="C33" t="s">
        <v>22</v>
      </c>
      <c r="D33" s="2">
        <f t="shared" si="0"/>
        <v>692.5899999999998</v>
      </c>
      <c r="E33"/>
    </row>
    <row r="34" spans="1:5" x14ac:dyDescent="0.25">
      <c r="A34" s="1">
        <v>45754</v>
      </c>
      <c r="B34" s="2">
        <v>-10</v>
      </c>
      <c r="C34" t="s">
        <v>23</v>
      </c>
      <c r="D34" s="2">
        <f t="shared" si="0"/>
        <v>682.5899999999998</v>
      </c>
      <c r="E34"/>
    </row>
    <row r="35" spans="1:5" x14ac:dyDescent="0.25">
      <c r="A35" s="1">
        <v>45756</v>
      </c>
      <c r="B35" s="2">
        <v>-46.9</v>
      </c>
      <c r="C35" t="s">
        <v>24</v>
      </c>
      <c r="D35" s="2">
        <f t="shared" ref="D35:D66" si="1">D34+B35</f>
        <v>635.68999999999983</v>
      </c>
      <c r="E35"/>
    </row>
    <row r="36" spans="1:5" x14ac:dyDescent="0.25">
      <c r="A36" s="1">
        <v>45756</v>
      </c>
      <c r="B36" s="2">
        <v>-100</v>
      </c>
      <c r="C36" t="s">
        <v>6</v>
      </c>
      <c r="D36" s="2">
        <f t="shared" si="1"/>
        <v>535.68999999999983</v>
      </c>
      <c r="E36"/>
    </row>
    <row r="37" spans="1:5" x14ac:dyDescent="0.25">
      <c r="A37" s="1">
        <v>45761</v>
      </c>
      <c r="B37" s="2">
        <v>-17</v>
      </c>
      <c r="C37" t="s">
        <v>25</v>
      </c>
      <c r="D37" s="2">
        <f t="shared" si="1"/>
        <v>518.68999999999983</v>
      </c>
      <c r="E37"/>
    </row>
    <row r="38" spans="1:5" x14ac:dyDescent="0.25">
      <c r="A38" s="1">
        <v>45761</v>
      </c>
      <c r="B38" s="2">
        <v>-58.6</v>
      </c>
      <c r="C38" t="s">
        <v>26</v>
      </c>
      <c r="D38" s="2">
        <f t="shared" si="1"/>
        <v>460.0899999999998</v>
      </c>
      <c r="E38"/>
    </row>
    <row r="39" spans="1:5" x14ac:dyDescent="0.25">
      <c r="A39" s="1">
        <v>45762</v>
      </c>
      <c r="B39" s="2">
        <v>-20</v>
      </c>
      <c r="C39" t="s">
        <v>15</v>
      </c>
      <c r="D39" s="2">
        <f t="shared" si="1"/>
        <v>440.0899999999998</v>
      </c>
      <c r="E39"/>
    </row>
    <row r="40" spans="1:5" x14ac:dyDescent="0.25">
      <c r="A40" s="1">
        <v>45762</v>
      </c>
      <c r="B40" s="2">
        <v>908</v>
      </c>
      <c r="C40" t="s">
        <v>4</v>
      </c>
      <c r="D40" s="2">
        <f t="shared" si="1"/>
        <v>1348.0899999999997</v>
      </c>
      <c r="E40"/>
    </row>
    <row r="41" spans="1:5" x14ac:dyDescent="0.25">
      <c r="A41" s="1">
        <v>45762</v>
      </c>
      <c r="B41" s="2">
        <v>-84</v>
      </c>
      <c r="C41" t="s">
        <v>27</v>
      </c>
      <c r="D41" s="2">
        <f t="shared" si="1"/>
        <v>1264.0899999999997</v>
      </c>
      <c r="E41"/>
    </row>
    <row r="42" spans="1:5" x14ac:dyDescent="0.25">
      <c r="A42" s="1">
        <v>45762</v>
      </c>
      <c r="B42" s="2">
        <v>-45.96</v>
      </c>
      <c r="C42" t="s">
        <v>10</v>
      </c>
      <c r="D42" s="2">
        <f t="shared" si="1"/>
        <v>1218.1299999999997</v>
      </c>
      <c r="E42"/>
    </row>
    <row r="43" spans="1:5" x14ac:dyDescent="0.25">
      <c r="A43" s="1">
        <v>45763</v>
      </c>
      <c r="B43" s="2">
        <v>-181.95</v>
      </c>
      <c r="C43" t="s">
        <v>14</v>
      </c>
      <c r="D43" s="2">
        <f t="shared" si="1"/>
        <v>1036.1799999999996</v>
      </c>
      <c r="E43"/>
    </row>
    <row r="44" spans="1:5" x14ac:dyDescent="0.25">
      <c r="A44" s="1">
        <v>45764</v>
      </c>
      <c r="B44" s="2">
        <v>-30</v>
      </c>
      <c r="C44" t="s">
        <v>28</v>
      </c>
      <c r="D44" s="2">
        <f t="shared" si="1"/>
        <v>1006.1799999999996</v>
      </c>
      <c r="E44"/>
    </row>
    <row r="45" spans="1:5" x14ac:dyDescent="0.25">
      <c r="A45" s="1">
        <v>45764</v>
      </c>
      <c r="B45" s="2">
        <v>-89.9</v>
      </c>
      <c r="C45" t="s">
        <v>29</v>
      </c>
      <c r="D45" s="2">
        <f t="shared" si="1"/>
        <v>916.27999999999963</v>
      </c>
      <c r="E45"/>
    </row>
    <row r="46" spans="1:5" x14ac:dyDescent="0.25">
      <c r="A46" s="1">
        <v>45764</v>
      </c>
      <c r="B46" s="2">
        <v>-15.17</v>
      </c>
      <c r="C46" t="s">
        <v>30</v>
      </c>
      <c r="D46" s="2">
        <f t="shared" si="1"/>
        <v>901.10999999999967</v>
      </c>
      <c r="E46"/>
    </row>
    <row r="47" spans="1:5" x14ac:dyDescent="0.25">
      <c r="A47" s="1">
        <v>45764</v>
      </c>
      <c r="B47" s="2">
        <v>-10</v>
      </c>
      <c r="C47" t="s">
        <v>31</v>
      </c>
      <c r="D47" s="2">
        <f t="shared" si="1"/>
        <v>891.10999999999967</v>
      </c>
      <c r="E47"/>
    </row>
    <row r="48" spans="1:5" x14ac:dyDescent="0.25">
      <c r="A48" s="1">
        <v>45764</v>
      </c>
      <c r="B48" s="2">
        <v>-100</v>
      </c>
      <c r="C48" t="s">
        <v>32</v>
      </c>
      <c r="D48" s="2">
        <f t="shared" si="1"/>
        <v>791.10999999999967</v>
      </c>
      <c r="E48"/>
    </row>
    <row r="49" spans="1:5" x14ac:dyDescent="0.25">
      <c r="A49" s="1">
        <v>45769</v>
      </c>
      <c r="B49" s="2">
        <v>-20</v>
      </c>
      <c r="C49" t="s">
        <v>25</v>
      </c>
      <c r="D49" s="2">
        <f t="shared" si="1"/>
        <v>771.10999999999967</v>
      </c>
      <c r="E49"/>
    </row>
    <row r="50" spans="1:5" x14ac:dyDescent="0.25">
      <c r="A50" s="1">
        <v>45769</v>
      </c>
      <c r="B50" s="2">
        <v>-12.95</v>
      </c>
      <c r="C50" t="s">
        <v>33</v>
      </c>
      <c r="D50" s="2">
        <f t="shared" si="1"/>
        <v>758.15999999999963</v>
      </c>
      <c r="E50"/>
    </row>
    <row r="51" spans="1:5" x14ac:dyDescent="0.25">
      <c r="A51" s="1">
        <v>45769</v>
      </c>
      <c r="B51" s="2">
        <v>-25.97</v>
      </c>
      <c r="C51" t="s">
        <v>33</v>
      </c>
      <c r="D51" s="2">
        <f t="shared" si="1"/>
        <v>732.1899999999996</v>
      </c>
      <c r="E51"/>
    </row>
    <row r="52" spans="1:5" x14ac:dyDescent="0.25">
      <c r="A52" s="1">
        <v>45769</v>
      </c>
      <c r="B52" s="2">
        <v>-13.5</v>
      </c>
      <c r="C52" t="s">
        <v>33</v>
      </c>
      <c r="D52" s="2">
        <f t="shared" si="1"/>
        <v>718.6899999999996</v>
      </c>
      <c r="E52"/>
    </row>
    <row r="53" spans="1:5" x14ac:dyDescent="0.25">
      <c r="A53" s="1">
        <v>45769</v>
      </c>
      <c r="B53" s="2">
        <v>-45.3</v>
      </c>
      <c r="C53" t="s">
        <v>34</v>
      </c>
      <c r="D53" s="2">
        <f t="shared" si="1"/>
        <v>673.38999999999965</v>
      </c>
      <c r="E53"/>
    </row>
    <row r="54" spans="1:5" x14ac:dyDescent="0.25">
      <c r="A54" s="1">
        <v>45769</v>
      </c>
      <c r="B54" s="2">
        <v>-111.29</v>
      </c>
      <c r="C54" t="s">
        <v>34</v>
      </c>
      <c r="D54" s="2">
        <f t="shared" si="1"/>
        <v>562.09999999999968</v>
      </c>
      <c r="E54"/>
    </row>
    <row r="55" spans="1:5" x14ac:dyDescent="0.25">
      <c r="A55" s="1">
        <v>45771</v>
      </c>
      <c r="B55" s="2">
        <v>-59.41</v>
      </c>
      <c r="C55" t="s">
        <v>14</v>
      </c>
      <c r="D55" s="2">
        <f t="shared" si="1"/>
        <v>502.68999999999971</v>
      </c>
      <c r="E55"/>
    </row>
    <row r="56" spans="1:5" x14ac:dyDescent="0.25">
      <c r="A56" s="1">
        <v>45776</v>
      </c>
      <c r="B56" s="2">
        <v>-16.75</v>
      </c>
      <c r="C56" t="s">
        <v>7</v>
      </c>
      <c r="D56" s="2">
        <f t="shared" si="1"/>
        <v>485.93999999999971</v>
      </c>
      <c r="E56"/>
    </row>
    <row r="57" spans="1:5" x14ac:dyDescent="0.25">
      <c r="A57" s="1">
        <v>45777</v>
      </c>
      <c r="B57" s="2">
        <v>-7</v>
      </c>
      <c r="C57" t="s">
        <v>25</v>
      </c>
      <c r="D57" s="2">
        <f t="shared" si="1"/>
        <v>478.93999999999971</v>
      </c>
      <c r="E57"/>
    </row>
    <row r="58" spans="1:5" x14ac:dyDescent="0.25">
      <c r="A58" s="1">
        <v>45777</v>
      </c>
      <c r="B58" s="2">
        <v>1024.27</v>
      </c>
      <c r="C58" t="s">
        <v>17</v>
      </c>
      <c r="D58" s="2">
        <f t="shared" si="1"/>
        <v>1503.2099999999996</v>
      </c>
      <c r="E58"/>
    </row>
    <row r="59" spans="1:5" x14ac:dyDescent="0.25">
      <c r="A59" s="1">
        <v>45777</v>
      </c>
      <c r="B59" s="2">
        <v>-400</v>
      </c>
      <c r="C59" t="s">
        <v>35</v>
      </c>
      <c r="D59" s="2">
        <f t="shared" si="1"/>
        <v>1103.2099999999996</v>
      </c>
      <c r="E59"/>
    </row>
    <row r="60" spans="1:5" x14ac:dyDescent="0.25">
      <c r="A60" s="1">
        <v>45779</v>
      </c>
      <c r="B60" s="2">
        <v>-139.69999999999999</v>
      </c>
      <c r="C60" t="s">
        <v>36</v>
      </c>
      <c r="D60" s="2">
        <f t="shared" si="1"/>
        <v>963.50999999999954</v>
      </c>
      <c r="E60"/>
    </row>
    <row r="61" spans="1:5" x14ac:dyDescent="0.25">
      <c r="A61" s="1">
        <v>45779</v>
      </c>
      <c r="B61" s="2">
        <v>-19.920000000000002</v>
      </c>
      <c r="C61" t="s">
        <v>37</v>
      </c>
      <c r="D61" s="2">
        <f t="shared" si="1"/>
        <v>943.58999999999958</v>
      </c>
      <c r="E61"/>
    </row>
    <row r="62" spans="1:5" x14ac:dyDescent="0.25">
      <c r="A62" s="1">
        <v>45779</v>
      </c>
      <c r="B62" s="2">
        <v>-10</v>
      </c>
      <c r="C62" t="s">
        <v>25</v>
      </c>
      <c r="D62" s="2">
        <f t="shared" si="1"/>
        <v>933.58999999999958</v>
      </c>
      <c r="E62"/>
    </row>
    <row r="63" spans="1:5" x14ac:dyDescent="0.25">
      <c r="A63" s="1">
        <v>45779</v>
      </c>
      <c r="B63" s="2">
        <v>-164.47</v>
      </c>
      <c r="C63" t="s">
        <v>5</v>
      </c>
      <c r="D63" s="2">
        <f t="shared" si="1"/>
        <v>769.11999999999955</v>
      </c>
      <c r="E63"/>
    </row>
    <row r="64" spans="1:5" x14ac:dyDescent="0.25">
      <c r="A64" s="1">
        <v>45782</v>
      </c>
      <c r="B64" s="2">
        <v>-28.97</v>
      </c>
      <c r="C64" t="s">
        <v>10</v>
      </c>
      <c r="D64" s="2">
        <f t="shared" si="1"/>
        <v>740.14999999999952</v>
      </c>
      <c r="E64"/>
    </row>
    <row r="65" spans="1:5" x14ac:dyDescent="0.25">
      <c r="A65" s="1">
        <v>45782</v>
      </c>
      <c r="B65" s="2">
        <v>-52.96</v>
      </c>
      <c r="C65" t="s">
        <v>38</v>
      </c>
      <c r="D65" s="2">
        <f t="shared" si="1"/>
        <v>687.18999999999949</v>
      </c>
      <c r="E65"/>
    </row>
    <row r="66" spans="1:5" x14ac:dyDescent="0.25">
      <c r="A66" s="1">
        <v>45782</v>
      </c>
      <c r="B66" s="2">
        <v>-110.99</v>
      </c>
      <c r="C66" t="s">
        <v>14</v>
      </c>
      <c r="D66" s="2">
        <f t="shared" si="1"/>
        <v>576.19999999999948</v>
      </c>
      <c r="E66"/>
    </row>
    <row r="67" spans="1:5" x14ac:dyDescent="0.25">
      <c r="A67" s="1">
        <v>45782</v>
      </c>
      <c r="B67" s="2">
        <v>-37.299999999999997</v>
      </c>
      <c r="C67" t="s">
        <v>25</v>
      </c>
      <c r="D67" s="2">
        <f t="shared" ref="D67:D98" si="2">D66+B67</f>
        <v>538.89999999999952</v>
      </c>
      <c r="E67"/>
    </row>
    <row r="68" spans="1:5" x14ac:dyDescent="0.25">
      <c r="A68" s="1">
        <v>45783</v>
      </c>
      <c r="B68" s="2">
        <v>-13.91</v>
      </c>
      <c r="C68" t="s">
        <v>16</v>
      </c>
      <c r="D68" s="2">
        <f t="shared" si="2"/>
        <v>524.98999999999955</v>
      </c>
      <c r="E68"/>
    </row>
    <row r="69" spans="1:5" x14ac:dyDescent="0.25">
      <c r="A69" s="1">
        <v>45784</v>
      </c>
      <c r="B69" s="2">
        <v>-10</v>
      </c>
      <c r="C69" t="s">
        <v>23</v>
      </c>
      <c r="D69" s="2">
        <f t="shared" si="2"/>
        <v>514.98999999999955</v>
      </c>
      <c r="E69"/>
    </row>
    <row r="70" spans="1:5" x14ac:dyDescent="0.25">
      <c r="A70" s="1">
        <v>45784</v>
      </c>
      <c r="B70" s="2">
        <v>-99.9</v>
      </c>
      <c r="C70" t="s">
        <v>6</v>
      </c>
      <c r="D70" s="2">
        <f t="shared" si="2"/>
        <v>415.08999999999958</v>
      </c>
      <c r="E70"/>
    </row>
    <row r="71" spans="1:5" x14ac:dyDescent="0.25">
      <c r="A71" s="1">
        <v>45784</v>
      </c>
      <c r="B71" s="2">
        <v>-5.7</v>
      </c>
      <c r="C71" t="s">
        <v>8</v>
      </c>
      <c r="D71" s="2">
        <f t="shared" si="2"/>
        <v>409.38999999999959</v>
      </c>
      <c r="E71"/>
    </row>
    <row r="72" spans="1:5" x14ac:dyDescent="0.25">
      <c r="A72" s="1">
        <v>45785</v>
      </c>
      <c r="B72" s="2">
        <v>-54.99</v>
      </c>
      <c r="C72" t="s">
        <v>39</v>
      </c>
      <c r="D72" s="2">
        <f t="shared" si="2"/>
        <v>354.39999999999958</v>
      </c>
      <c r="E72"/>
    </row>
    <row r="73" spans="1:5" x14ac:dyDescent="0.25">
      <c r="A73" s="1">
        <v>45786</v>
      </c>
      <c r="B73" s="2">
        <v>-10</v>
      </c>
      <c r="C73" t="s">
        <v>25</v>
      </c>
      <c r="D73" s="2">
        <f t="shared" si="2"/>
        <v>344.39999999999958</v>
      </c>
      <c r="E73"/>
    </row>
    <row r="74" spans="1:5" x14ac:dyDescent="0.25">
      <c r="A74" s="1">
        <v>45786</v>
      </c>
      <c r="B74" s="2">
        <v>-14.95</v>
      </c>
      <c r="C74" t="s">
        <v>12</v>
      </c>
      <c r="D74" s="2">
        <f t="shared" si="2"/>
        <v>329.44999999999959</v>
      </c>
      <c r="E74"/>
    </row>
    <row r="75" spans="1:5" x14ac:dyDescent="0.25">
      <c r="A75" s="1">
        <v>45786</v>
      </c>
      <c r="B75" s="2">
        <v>-35</v>
      </c>
      <c r="C75" t="s">
        <v>19</v>
      </c>
      <c r="D75" s="2">
        <f t="shared" si="2"/>
        <v>294.44999999999959</v>
      </c>
      <c r="E75"/>
    </row>
    <row r="76" spans="1:5" x14ac:dyDescent="0.25">
      <c r="A76" s="1">
        <v>45789</v>
      </c>
      <c r="B76" s="2">
        <v>-91.98</v>
      </c>
      <c r="C76" t="s">
        <v>40</v>
      </c>
      <c r="D76" s="2">
        <f t="shared" si="2"/>
        <v>202.46999999999957</v>
      </c>
      <c r="E76"/>
    </row>
    <row r="77" spans="1:5" x14ac:dyDescent="0.25">
      <c r="A77" s="1">
        <v>45789</v>
      </c>
      <c r="B77" s="2">
        <v>-14</v>
      </c>
      <c r="C77" t="s">
        <v>21</v>
      </c>
      <c r="D77" s="2">
        <f t="shared" si="2"/>
        <v>188.46999999999957</v>
      </c>
      <c r="E77"/>
    </row>
    <row r="78" spans="1:5" x14ac:dyDescent="0.25">
      <c r="A78" s="1">
        <v>45789</v>
      </c>
      <c r="B78" s="2">
        <v>-18</v>
      </c>
      <c r="C78" t="s">
        <v>8</v>
      </c>
      <c r="D78" s="2">
        <f t="shared" si="2"/>
        <v>170.46999999999957</v>
      </c>
      <c r="E78"/>
    </row>
    <row r="79" spans="1:5" x14ac:dyDescent="0.25">
      <c r="A79" s="1">
        <v>45789</v>
      </c>
      <c r="B79" s="2">
        <v>-5.7</v>
      </c>
      <c r="C79" t="s">
        <v>8</v>
      </c>
      <c r="D79" s="2">
        <f t="shared" si="2"/>
        <v>164.76999999999958</v>
      </c>
      <c r="E79"/>
    </row>
    <row r="80" spans="1:5" x14ac:dyDescent="0.25">
      <c r="A80" s="1">
        <v>45790</v>
      </c>
      <c r="B80" s="2">
        <v>-5.5</v>
      </c>
      <c r="C80" t="s">
        <v>8</v>
      </c>
      <c r="D80" s="2">
        <f t="shared" si="2"/>
        <v>159.26999999999958</v>
      </c>
      <c r="E80"/>
    </row>
    <row r="81" spans="1:5" x14ac:dyDescent="0.25">
      <c r="A81" s="1">
        <v>45792</v>
      </c>
      <c r="B81" s="2">
        <v>908</v>
      </c>
      <c r="C81" t="s">
        <v>4</v>
      </c>
      <c r="D81" s="2">
        <f t="shared" si="2"/>
        <v>1067.2699999999995</v>
      </c>
      <c r="E81"/>
    </row>
    <row r="82" spans="1:5" x14ac:dyDescent="0.25">
      <c r="A82" s="1">
        <v>45792</v>
      </c>
      <c r="B82" s="2">
        <v>-20</v>
      </c>
      <c r="C82" t="s">
        <v>15</v>
      </c>
      <c r="D82" s="2">
        <f t="shared" si="2"/>
        <v>1047.2699999999995</v>
      </c>
      <c r="E82"/>
    </row>
    <row r="83" spans="1:5" x14ac:dyDescent="0.25">
      <c r="A83" s="1">
        <v>45793</v>
      </c>
      <c r="B83" s="2">
        <v>-25</v>
      </c>
      <c r="C83" t="s">
        <v>19</v>
      </c>
      <c r="D83" s="2">
        <f t="shared" si="2"/>
        <v>1022.2699999999995</v>
      </c>
      <c r="E83"/>
    </row>
    <row r="84" spans="1:5" x14ac:dyDescent="0.25">
      <c r="A84" s="1">
        <v>45793</v>
      </c>
      <c r="B84" s="2">
        <v>-34</v>
      </c>
      <c r="C84" t="s">
        <v>7</v>
      </c>
      <c r="D84" s="2">
        <f t="shared" si="2"/>
        <v>988.26999999999953</v>
      </c>
      <c r="E84"/>
    </row>
    <row r="85" spans="1:5" x14ac:dyDescent="0.25">
      <c r="A85" s="1">
        <v>45796</v>
      </c>
      <c r="B85" s="2">
        <v>-6.5</v>
      </c>
      <c r="C85" t="s">
        <v>8</v>
      </c>
      <c r="D85" s="2">
        <f t="shared" si="2"/>
        <v>981.76999999999953</v>
      </c>
      <c r="E85"/>
    </row>
    <row r="86" spans="1:5" x14ac:dyDescent="0.25">
      <c r="A86" s="1">
        <v>45796</v>
      </c>
      <c r="B86" s="2">
        <v>-39.9</v>
      </c>
      <c r="C86" t="s">
        <v>8</v>
      </c>
      <c r="D86" s="2">
        <f t="shared" si="2"/>
        <v>941.86999999999955</v>
      </c>
      <c r="E86"/>
    </row>
    <row r="87" spans="1:5" x14ac:dyDescent="0.25">
      <c r="A87" s="1">
        <v>45796</v>
      </c>
      <c r="B87" s="2">
        <v>-32.78</v>
      </c>
      <c r="C87" t="s">
        <v>10</v>
      </c>
      <c r="D87" s="2">
        <f t="shared" si="2"/>
        <v>909.08999999999958</v>
      </c>
      <c r="E87"/>
    </row>
    <row r="88" spans="1:5" x14ac:dyDescent="0.25">
      <c r="A88" s="1">
        <v>45796</v>
      </c>
      <c r="B88" s="2">
        <v>-11.95</v>
      </c>
      <c r="C88" t="s">
        <v>7</v>
      </c>
      <c r="D88" s="2">
        <f t="shared" si="2"/>
        <v>897.13999999999953</v>
      </c>
      <c r="E88"/>
    </row>
    <row r="89" spans="1:5" x14ac:dyDescent="0.25">
      <c r="A89" s="1">
        <v>45799</v>
      </c>
      <c r="B89" s="2">
        <v>-14.9</v>
      </c>
      <c r="C89" t="s">
        <v>7</v>
      </c>
      <c r="D89" s="2">
        <f t="shared" si="2"/>
        <v>882.23999999999955</v>
      </c>
      <c r="E89"/>
    </row>
    <row r="90" spans="1:5" x14ac:dyDescent="0.25">
      <c r="A90" s="1">
        <v>45801</v>
      </c>
      <c r="B90" s="2">
        <v>-35.049999999999997</v>
      </c>
      <c r="C90" t="s">
        <v>12</v>
      </c>
      <c r="D90" s="2">
        <f t="shared" si="2"/>
        <v>847.1899999999996</v>
      </c>
      <c r="E90"/>
    </row>
    <row r="91" spans="1:5" x14ac:dyDescent="0.25">
      <c r="A91" s="1">
        <v>45801</v>
      </c>
      <c r="B91" s="2">
        <v>-37.46</v>
      </c>
      <c r="C91" t="s">
        <v>16</v>
      </c>
      <c r="D91" s="2">
        <f t="shared" si="2"/>
        <v>809.72999999999956</v>
      </c>
      <c r="E91"/>
    </row>
    <row r="92" spans="1:5" x14ac:dyDescent="0.25">
      <c r="A92" s="1">
        <v>45802</v>
      </c>
      <c r="B92" s="2">
        <v>-20</v>
      </c>
      <c r="C92" t="s">
        <v>25</v>
      </c>
      <c r="D92" s="2">
        <f t="shared" si="2"/>
        <v>789.72999999999956</v>
      </c>
      <c r="E92"/>
    </row>
    <row r="93" spans="1:5" x14ac:dyDescent="0.25">
      <c r="A93" s="1">
        <v>45802</v>
      </c>
      <c r="B93" s="2">
        <v>-10.8</v>
      </c>
      <c r="C93" t="s">
        <v>8</v>
      </c>
      <c r="D93" s="2">
        <f t="shared" si="2"/>
        <v>778.92999999999961</v>
      </c>
      <c r="E93"/>
    </row>
    <row r="94" spans="1:5" x14ac:dyDescent="0.25">
      <c r="A94" s="1">
        <v>45802</v>
      </c>
      <c r="B94" s="2">
        <v>-27.4</v>
      </c>
      <c r="C94" t="s">
        <v>16</v>
      </c>
      <c r="D94" s="2">
        <f t="shared" si="2"/>
        <v>751.52999999999963</v>
      </c>
      <c r="E94"/>
    </row>
    <row r="95" spans="1:5" x14ac:dyDescent="0.25">
      <c r="A95" s="1">
        <v>45803</v>
      </c>
      <c r="B95" s="2">
        <v>-30.9</v>
      </c>
      <c r="C95" t="s">
        <v>41</v>
      </c>
      <c r="D95" s="2">
        <f t="shared" si="2"/>
        <v>720.62999999999965</v>
      </c>
      <c r="E95"/>
    </row>
    <row r="96" spans="1:5" x14ac:dyDescent="0.25">
      <c r="A96" s="1">
        <v>45804</v>
      </c>
      <c r="B96" s="2">
        <v>-31.91</v>
      </c>
      <c r="C96" t="s">
        <v>14</v>
      </c>
      <c r="D96" s="2">
        <f t="shared" si="2"/>
        <v>688.71999999999969</v>
      </c>
      <c r="E96"/>
    </row>
    <row r="97" spans="1:5" x14ac:dyDescent="0.25">
      <c r="A97" s="1">
        <v>45805</v>
      </c>
      <c r="B97" s="2">
        <v>-20</v>
      </c>
      <c r="C97" t="s">
        <v>42</v>
      </c>
      <c r="D97" s="2">
        <f t="shared" si="2"/>
        <v>668.71999999999969</v>
      </c>
      <c r="E97"/>
    </row>
    <row r="98" spans="1:5" x14ac:dyDescent="0.25">
      <c r="A98" s="1">
        <v>45805</v>
      </c>
      <c r="B98" s="2">
        <v>-4</v>
      </c>
      <c r="C98" t="s">
        <v>8</v>
      </c>
      <c r="D98" s="2">
        <f t="shared" si="2"/>
        <v>664.71999999999969</v>
      </c>
      <c r="E98"/>
    </row>
    <row r="99" spans="1:5" x14ac:dyDescent="0.25">
      <c r="A99" s="1">
        <v>45806</v>
      </c>
      <c r="B99" s="2">
        <v>-50</v>
      </c>
      <c r="C99" t="s">
        <v>43</v>
      </c>
      <c r="D99" s="2">
        <f t="shared" ref="D99:D130" si="3">D98+B99</f>
        <v>614.71999999999969</v>
      </c>
      <c r="E99"/>
    </row>
    <row r="100" spans="1:5" x14ac:dyDescent="0.25">
      <c r="A100" s="1">
        <v>45806</v>
      </c>
      <c r="B100" s="2">
        <v>-15.45</v>
      </c>
      <c r="C100" t="s">
        <v>7</v>
      </c>
      <c r="D100" s="2">
        <f t="shared" si="3"/>
        <v>599.26999999999964</v>
      </c>
      <c r="E100"/>
    </row>
    <row r="101" spans="1:5" x14ac:dyDescent="0.25">
      <c r="A101" s="1">
        <v>45806</v>
      </c>
      <c r="B101" s="2">
        <v>-13.5</v>
      </c>
      <c r="C101" t="s">
        <v>8</v>
      </c>
      <c r="D101" s="2">
        <f t="shared" si="3"/>
        <v>585.76999999999964</v>
      </c>
      <c r="E101"/>
    </row>
    <row r="102" spans="1:5" x14ac:dyDescent="0.25">
      <c r="A102" s="1">
        <v>45806</v>
      </c>
      <c r="B102" s="2">
        <v>-500</v>
      </c>
      <c r="C102" t="s">
        <v>35</v>
      </c>
      <c r="D102" s="2">
        <f t="shared" si="3"/>
        <v>85.769999999999641</v>
      </c>
      <c r="E102"/>
    </row>
    <row r="103" spans="1:5" x14ac:dyDescent="0.25">
      <c r="A103" s="1">
        <v>45807</v>
      </c>
      <c r="B103" s="2">
        <v>1023.65</v>
      </c>
      <c r="C103" t="s">
        <v>17</v>
      </c>
      <c r="D103" s="2">
        <f t="shared" si="3"/>
        <v>1109.4199999999996</v>
      </c>
      <c r="E103"/>
    </row>
    <row r="104" spans="1:5" x14ac:dyDescent="0.25">
      <c r="A104" s="1">
        <v>45807</v>
      </c>
      <c r="B104" s="2">
        <v>-30</v>
      </c>
      <c r="C104" t="s">
        <v>44</v>
      </c>
      <c r="D104" s="2">
        <f t="shared" si="3"/>
        <v>1079.4199999999996</v>
      </c>
      <c r="E104"/>
    </row>
    <row r="105" spans="1:5" x14ac:dyDescent="0.25">
      <c r="A105" s="1">
        <v>45807</v>
      </c>
      <c r="B105" s="2">
        <v>-52.66</v>
      </c>
      <c r="C105" t="s">
        <v>12</v>
      </c>
      <c r="D105" s="2">
        <f t="shared" si="3"/>
        <v>1026.7599999999995</v>
      </c>
      <c r="E105"/>
    </row>
    <row r="106" spans="1:5" x14ac:dyDescent="0.25">
      <c r="A106" s="1">
        <v>45810</v>
      </c>
      <c r="B106" s="2">
        <v>-43.03</v>
      </c>
      <c r="C106" t="s">
        <v>16</v>
      </c>
      <c r="D106" s="2">
        <f t="shared" si="3"/>
        <v>983.72999999999956</v>
      </c>
      <c r="E106"/>
    </row>
    <row r="107" spans="1:5" x14ac:dyDescent="0.25">
      <c r="A107" s="1">
        <v>45810</v>
      </c>
      <c r="B107" s="2">
        <v>-29.3</v>
      </c>
      <c r="C107" t="s">
        <v>8</v>
      </c>
      <c r="D107" s="2">
        <f t="shared" si="3"/>
        <v>954.42999999999961</v>
      </c>
      <c r="E107"/>
    </row>
    <row r="108" spans="1:5" x14ac:dyDescent="0.25">
      <c r="A108" s="1">
        <v>45810</v>
      </c>
      <c r="B108" s="2">
        <v>-5</v>
      </c>
      <c r="C108" t="s">
        <v>25</v>
      </c>
      <c r="D108" s="2">
        <f t="shared" si="3"/>
        <v>949.42999999999961</v>
      </c>
      <c r="E108"/>
    </row>
    <row r="109" spans="1:5" x14ac:dyDescent="0.25">
      <c r="A109" s="1">
        <v>45810</v>
      </c>
      <c r="B109" s="2">
        <v>-222.05</v>
      </c>
      <c r="C109" t="s">
        <v>14</v>
      </c>
      <c r="D109" s="2">
        <f t="shared" si="3"/>
        <v>727.37999999999965</v>
      </c>
      <c r="E109"/>
    </row>
    <row r="110" spans="1:5" x14ac:dyDescent="0.25">
      <c r="A110" s="1">
        <v>45810</v>
      </c>
      <c r="B110" s="2">
        <v>-178.68</v>
      </c>
      <c r="C110" t="s">
        <v>5</v>
      </c>
      <c r="D110" s="2">
        <f t="shared" si="3"/>
        <v>548.69999999999959</v>
      </c>
      <c r="E110"/>
    </row>
    <row r="111" spans="1:5" x14ac:dyDescent="0.25">
      <c r="A111" s="1">
        <v>45810</v>
      </c>
      <c r="B111" s="2">
        <v>-2.5</v>
      </c>
      <c r="C111" t="s">
        <v>8</v>
      </c>
      <c r="D111" s="2">
        <f t="shared" si="3"/>
        <v>546.19999999999959</v>
      </c>
      <c r="E111"/>
    </row>
    <row r="112" spans="1:5" x14ac:dyDescent="0.25">
      <c r="A112" s="1">
        <v>45813</v>
      </c>
      <c r="B112" s="2">
        <v>-23.9</v>
      </c>
      <c r="C112" t="s">
        <v>7</v>
      </c>
      <c r="D112" s="2">
        <f t="shared" si="3"/>
        <v>522.29999999999961</v>
      </c>
      <c r="E112"/>
    </row>
    <row r="113" spans="1:5" x14ac:dyDescent="0.25">
      <c r="A113" s="1">
        <v>45814</v>
      </c>
      <c r="B113" s="2">
        <v>-21</v>
      </c>
      <c r="C113" t="s">
        <v>8</v>
      </c>
      <c r="D113" s="2">
        <f t="shared" si="3"/>
        <v>501.29999999999961</v>
      </c>
      <c r="E113"/>
    </row>
    <row r="114" spans="1:5" x14ac:dyDescent="0.25">
      <c r="A114" s="1">
        <v>45817</v>
      </c>
      <c r="B114" s="2">
        <v>-10</v>
      </c>
      <c r="C114" t="s">
        <v>25</v>
      </c>
      <c r="D114" s="2">
        <f t="shared" si="3"/>
        <v>491.29999999999961</v>
      </c>
      <c r="E114"/>
    </row>
    <row r="115" spans="1:5" x14ac:dyDescent="0.25">
      <c r="A115" s="1">
        <v>45817</v>
      </c>
      <c r="B115" s="2">
        <v>-10</v>
      </c>
      <c r="C115" t="s">
        <v>25</v>
      </c>
      <c r="D115" s="2">
        <f t="shared" si="3"/>
        <v>481.29999999999961</v>
      </c>
      <c r="E115"/>
    </row>
    <row r="116" spans="1:5" x14ac:dyDescent="0.25">
      <c r="A116" s="1">
        <v>45817</v>
      </c>
      <c r="B116" s="2">
        <v>-9.99</v>
      </c>
      <c r="C116" t="s">
        <v>23</v>
      </c>
      <c r="D116" s="2">
        <f t="shared" si="3"/>
        <v>471.3099999999996</v>
      </c>
      <c r="E116"/>
    </row>
    <row r="117" spans="1:5" x14ac:dyDescent="0.25">
      <c r="A117" s="1">
        <v>45817</v>
      </c>
      <c r="B117" s="2">
        <v>-99.9</v>
      </c>
      <c r="C117" t="s">
        <v>6</v>
      </c>
      <c r="D117" s="2">
        <f t="shared" si="3"/>
        <v>371.40999999999963</v>
      </c>
      <c r="E117"/>
    </row>
    <row r="118" spans="1:5" x14ac:dyDescent="0.25">
      <c r="A118" s="1">
        <v>45817</v>
      </c>
      <c r="B118" s="2">
        <v>-20</v>
      </c>
      <c r="C118" t="s">
        <v>15</v>
      </c>
      <c r="D118" s="2">
        <f t="shared" si="3"/>
        <v>351.40999999999963</v>
      </c>
      <c r="E118"/>
    </row>
    <row r="119" spans="1:5" x14ac:dyDescent="0.25">
      <c r="A119" s="1">
        <v>45817</v>
      </c>
      <c r="B119" s="2">
        <v>-57</v>
      </c>
      <c r="C119" t="s">
        <v>42</v>
      </c>
      <c r="D119" s="2">
        <f t="shared" si="3"/>
        <v>294.40999999999963</v>
      </c>
      <c r="E119"/>
    </row>
    <row r="120" spans="1:5" x14ac:dyDescent="0.25">
      <c r="A120" s="1">
        <v>45818</v>
      </c>
      <c r="B120" s="2">
        <v>-7.5</v>
      </c>
      <c r="C120" t="s">
        <v>7</v>
      </c>
      <c r="D120" s="2">
        <f t="shared" si="3"/>
        <v>286.90999999999963</v>
      </c>
      <c r="E120"/>
    </row>
    <row r="121" spans="1:5" x14ac:dyDescent="0.25">
      <c r="A121" s="1">
        <v>45819</v>
      </c>
      <c r="B121" s="2">
        <v>-85</v>
      </c>
      <c r="C121" t="s">
        <v>25</v>
      </c>
      <c r="D121" s="2">
        <f t="shared" si="3"/>
        <v>201.90999999999963</v>
      </c>
      <c r="E121"/>
    </row>
    <row r="122" spans="1:5" x14ac:dyDescent="0.25">
      <c r="A122" s="1">
        <v>45821</v>
      </c>
      <c r="B122" s="2">
        <v>908</v>
      </c>
      <c r="C122" t="s">
        <v>4</v>
      </c>
      <c r="D122" s="2">
        <f t="shared" si="3"/>
        <v>1109.9099999999996</v>
      </c>
      <c r="E122"/>
    </row>
    <row r="123" spans="1:5" x14ac:dyDescent="0.25">
      <c r="A123" s="1">
        <v>45822</v>
      </c>
      <c r="B123" s="2">
        <v>-70</v>
      </c>
      <c r="C123" t="s">
        <v>45</v>
      </c>
      <c r="D123" s="2">
        <f t="shared" si="3"/>
        <v>1039.9099999999996</v>
      </c>
      <c r="E123"/>
    </row>
    <row r="124" spans="1:5" x14ac:dyDescent="0.25">
      <c r="A124" s="1">
        <v>45822</v>
      </c>
      <c r="B124" s="2">
        <v>-63.95</v>
      </c>
      <c r="C124" t="s">
        <v>10</v>
      </c>
      <c r="D124" s="2">
        <f t="shared" si="3"/>
        <v>975.95999999999958</v>
      </c>
      <c r="E124"/>
    </row>
    <row r="125" spans="1:5" x14ac:dyDescent="0.25">
      <c r="A125" s="1">
        <v>45824</v>
      </c>
      <c r="B125" s="2">
        <v>-15</v>
      </c>
      <c r="C125" t="s">
        <v>25</v>
      </c>
      <c r="D125" s="2">
        <f t="shared" si="3"/>
        <v>960.95999999999958</v>
      </c>
      <c r="E125"/>
    </row>
    <row r="126" spans="1:5" x14ac:dyDescent="0.25">
      <c r="A126" s="1">
        <v>45824</v>
      </c>
      <c r="B126" s="2">
        <v>-7</v>
      </c>
      <c r="C126" t="s">
        <v>25</v>
      </c>
      <c r="D126" s="2">
        <f t="shared" si="3"/>
        <v>953.95999999999958</v>
      </c>
      <c r="E126"/>
    </row>
    <row r="127" spans="1:5" x14ac:dyDescent="0.25">
      <c r="A127" s="1">
        <v>45824</v>
      </c>
      <c r="B127" s="2">
        <v>-30</v>
      </c>
      <c r="C127" t="s">
        <v>44</v>
      </c>
      <c r="D127" s="2">
        <f t="shared" si="3"/>
        <v>923.95999999999958</v>
      </c>
      <c r="E127"/>
    </row>
    <row r="128" spans="1:5" x14ac:dyDescent="0.25">
      <c r="A128" s="1">
        <v>45825</v>
      </c>
      <c r="B128" s="2">
        <v>-40</v>
      </c>
      <c r="C128" t="s">
        <v>19</v>
      </c>
      <c r="D128" s="2">
        <f t="shared" si="3"/>
        <v>883.95999999999958</v>
      </c>
      <c r="E128"/>
    </row>
    <row r="129" spans="1:5" x14ac:dyDescent="0.25">
      <c r="A129" s="1">
        <v>45826</v>
      </c>
      <c r="B129" s="2">
        <v>-40.9</v>
      </c>
      <c r="C129" t="s">
        <v>11</v>
      </c>
      <c r="D129" s="2">
        <f t="shared" si="3"/>
        <v>843.0599999999996</v>
      </c>
      <c r="E129"/>
    </row>
    <row r="130" spans="1:5" x14ac:dyDescent="0.25">
      <c r="A130" s="1">
        <v>45828</v>
      </c>
      <c r="B130" s="2">
        <v>-175.17</v>
      </c>
      <c r="C130" t="s">
        <v>46</v>
      </c>
      <c r="D130" s="2">
        <f t="shared" si="3"/>
        <v>667.88999999999965</v>
      </c>
      <c r="E130"/>
    </row>
    <row r="131" spans="1:5" x14ac:dyDescent="0.25">
      <c r="A131" s="1">
        <v>45828</v>
      </c>
      <c r="B131" s="2">
        <v>-17</v>
      </c>
      <c r="C131" t="s">
        <v>21</v>
      </c>
      <c r="D131" s="2">
        <f t="shared" ref="D131:D167" si="4">D130+B131</f>
        <v>650.88999999999965</v>
      </c>
      <c r="E131"/>
    </row>
    <row r="132" spans="1:5" x14ac:dyDescent="0.25">
      <c r="A132" s="1">
        <v>45831</v>
      </c>
      <c r="B132" s="2">
        <v>-20</v>
      </c>
      <c r="C132" t="s">
        <v>41</v>
      </c>
      <c r="D132" s="2">
        <f t="shared" si="4"/>
        <v>630.88999999999965</v>
      </c>
      <c r="E132"/>
    </row>
    <row r="133" spans="1:5" x14ac:dyDescent="0.25">
      <c r="A133" s="1">
        <v>45832</v>
      </c>
      <c r="B133" s="2">
        <v>-20</v>
      </c>
      <c r="C133" t="s">
        <v>44</v>
      </c>
      <c r="D133" s="2">
        <f t="shared" si="4"/>
        <v>610.88999999999965</v>
      </c>
      <c r="E133"/>
    </row>
    <row r="134" spans="1:5" x14ac:dyDescent="0.25">
      <c r="A134" s="1">
        <v>45832</v>
      </c>
      <c r="B134" s="2">
        <v>-20</v>
      </c>
      <c r="C134" t="s">
        <v>41</v>
      </c>
      <c r="D134" s="2">
        <f t="shared" si="4"/>
        <v>590.88999999999965</v>
      </c>
      <c r="E134"/>
    </row>
    <row r="135" spans="1:5" x14ac:dyDescent="0.25">
      <c r="A135" s="1">
        <v>45834</v>
      </c>
      <c r="B135" s="2">
        <v>-7.78</v>
      </c>
      <c r="C135" t="s">
        <v>8</v>
      </c>
      <c r="D135" s="2">
        <f t="shared" si="4"/>
        <v>583.10999999999967</v>
      </c>
      <c r="E135"/>
    </row>
    <row r="136" spans="1:5" x14ac:dyDescent="0.25">
      <c r="A136" s="1">
        <v>45834</v>
      </c>
      <c r="B136" s="2">
        <v>-20</v>
      </c>
      <c r="C136" t="s">
        <v>41</v>
      </c>
      <c r="D136" s="2">
        <f t="shared" si="4"/>
        <v>563.10999999999967</v>
      </c>
      <c r="E136"/>
    </row>
    <row r="137" spans="1:5" x14ac:dyDescent="0.25">
      <c r="A137" s="1">
        <v>45834</v>
      </c>
      <c r="B137" s="2">
        <v>-50</v>
      </c>
      <c r="C137" t="s">
        <v>43</v>
      </c>
      <c r="D137" s="2">
        <f t="shared" si="4"/>
        <v>513.10999999999967</v>
      </c>
      <c r="E137"/>
    </row>
    <row r="138" spans="1:5" x14ac:dyDescent="0.25">
      <c r="A138" s="1">
        <v>45834</v>
      </c>
      <c r="B138" s="2">
        <v>-5</v>
      </c>
      <c r="C138" t="s">
        <v>8</v>
      </c>
      <c r="D138" s="2">
        <f t="shared" si="4"/>
        <v>508.10999999999967</v>
      </c>
      <c r="E138"/>
    </row>
    <row r="139" spans="1:5" x14ac:dyDescent="0.25">
      <c r="A139" s="1">
        <v>45834</v>
      </c>
      <c r="B139" s="2">
        <v>-10</v>
      </c>
      <c r="C139" t="s">
        <v>8</v>
      </c>
      <c r="D139" s="2">
        <f t="shared" si="4"/>
        <v>498.10999999999967</v>
      </c>
      <c r="E139"/>
    </row>
    <row r="140" spans="1:5" x14ac:dyDescent="0.25">
      <c r="A140" s="1">
        <v>45835</v>
      </c>
      <c r="B140" s="2">
        <v>-10</v>
      </c>
      <c r="C140" t="s">
        <v>25</v>
      </c>
      <c r="D140" s="2">
        <f t="shared" si="4"/>
        <v>488.10999999999967</v>
      </c>
      <c r="E140"/>
    </row>
    <row r="141" spans="1:5" x14ac:dyDescent="0.25">
      <c r="A141" s="1">
        <v>45835</v>
      </c>
      <c r="B141" s="2">
        <v>-5</v>
      </c>
      <c r="C141" t="s">
        <v>8</v>
      </c>
      <c r="D141" s="2">
        <f t="shared" si="4"/>
        <v>483.10999999999967</v>
      </c>
      <c r="E141"/>
    </row>
    <row r="142" spans="1:5" x14ac:dyDescent="0.25">
      <c r="A142" s="1">
        <v>45835</v>
      </c>
      <c r="B142" s="2">
        <v>-36.33</v>
      </c>
      <c r="C142" t="s">
        <v>7</v>
      </c>
      <c r="D142" s="2">
        <f t="shared" si="4"/>
        <v>446.77999999999969</v>
      </c>
      <c r="E142"/>
    </row>
    <row r="143" spans="1:5" x14ac:dyDescent="0.25">
      <c r="A143" s="1">
        <v>45836</v>
      </c>
      <c r="B143" s="2">
        <v>-33</v>
      </c>
      <c r="C143" t="s">
        <v>47</v>
      </c>
      <c r="D143" s="2">
        <f t="shared" si="4"/>
        <v>413.77999999999969</v>
      </c>
      <c r="E143"/>
    </row>
    <row r="144" spans="1:5" x14ac:dyDescent="0.25">
      <c r="A144" s="1">
        <v>45837</v>
      </c>
      <c r="B144" s="2">
        <v>-57</v>
      </c>
      <c r="C144" t="s">
        <v>48</v>
      </c>
      <c r="D144" s="2">
        <f t="shared" si="4"/>
        <v>356.77999999999969</v>
      </c>
      <c r="E144"/>
    </row>
    <row r="145" spans="1:5" x14ac:dyDescent="0.25">
      <c r="A145" s="1">
        <v>45838</v>
      </c>
      <c r="B145" s="2">
        <v>-300</v>
      </c>
      <c r="C145" t="s">
        <v>35</v>
      </c>
      <c r="D145" s="2">
        <f t="shared" si="4"/>
        <v>56.779999999999688</v>
      </c>
      <c r="E145"/>
    </row>
    <row r="146" spans="1:5" x14ac:dyDescent="0.25">
      <c r="A146" s="1">
        <v>45838</v>
      </c>
      <c r="B146" s="2">
        <v>1024</v>
      </c>
      <c r="C146" t="s">
        <v>17</v>
      </c>
      <c r="D146" s="2">
        <f t="shared" si="4"/>
        <v>1080.7799999999997</v>
      </c>
      <c r="E146"/>
    </row>
    <row r="147" spans="1:5" x14ac:dyDescent="0.25">
      <c r="A147" s="1">
        <v>45838</v>
      </c>
      <c r="B147" s="2">
        <v>100</v>
      </c>
      <c r="C147" t="s">
        <v>49</v>
      </c>
      <c r="D147" s="2">
        <f t="shared" si="4"/>
        <v>1180.7799999999997</v>
      </c>
      <c r="E147"/>
    </row>
    <row r="148" spans="1:5" x14ac:dyDescent="0.25">
      <c r="A148" s="1">
        <v>45838</v>
      </c>
      <c r="B148" s="2">
        <v>-100</v>
      </c>
      <c r="C148" t="s">
        <v>35</v>
      </c>
      <c r="D148" s="2">
        <f t="shared" si="4"/>
        <v>1080.7799999999997</v>
      </c>
      <c r="E148"/>
    </row>
    <row r="149" spans="1:5" x14ac:dyDescent="0.25">
      <c r="A149" s="1">
        <v>45840</v>
      </c>
      <c r="B149" s="2">
        <v>-20</v>
      </c>
      <c r="C149" t="s">
        <v>50</v>
      </c>
      <c r="D149" s="2">
        <f t="shared" si="4"/>
        <v>1060.7799999999997</v>
      </c>
      <c r="E149"/>
    </row>
    <row r="150" spans="1:5" x14ac:dyDescent="0.25">
      <c r="A150" s="1">
        <v>45841</v>
      </c>
      <c r="B150" s="2">
        <v>-216.96</v>
      </c>
      <c r="C150" t="s">
        <v>51</v>
      </c>
      <c r="D150" s="2">
        <f t="shared" si="4"/>
        <v>843.81999999999971</v>
      </c>
    </row>
    <row r="151" spans="1:5" x14ac:dyDescent="0.25">
      <c r="A151" s="1">
        <v>45841</v>
      </c>
      <c r="B151" s="2">
        <v>-213.77</v>
      </c>
      <c r="C151" t="s">
        <v>5</v>
      </c>
      <c r="D151" s="2">
        <f t="shared" si="4"/>
        <v>630.04999999999973</v>
      </c>
    </row>
    <row r="152" spans="1:5" x14ac:dyDescent="0.25">
      <c r="A152" s="1">
        <v>45842</v>
      </c>
      <c r="B152" s="2">
        <v>-10</v>
      </c>
      <c r="C152" t="s">
        <v>7</v>
      </c>
      <c r="D152" s="2">
        <f t="shared" si="4"/>
        <v>620.04999999999973</v>
      </c>
    </row>
    <row r="153" spans="1:5" x14ac:dyDescent="0.25">
      <c r="A153" s="1">
        <v>45842</v>
      </c>
      <c r="B153" s="2">
        <v>-6.13</v>
      </c>
      <c r="C153" t="s">
        <v>8</v>
      </c>
      <c r="D153" s="2">
        <f t="shared" si="4"/>
        <v>613.91999999999973</v>
      </c>
    </row>
    <row r="154" spans="1:5" x14ac:dyDescent="0.25">
      <c r="A154" s="1">
        <v>45843</v>
      </c>
      <c r="B154" s="2">
        <v>-52.93</v>
      </c>
      <c r="C154" t="s">
        <v>12</v>
      </c>
      <c r="D154" s="2">
        <f t="shared" si="4"/>
        <v>560.98999999999978</v>
      </c>
    </row>
    <row r="155" spans="1:5" x14ac:dyDescent="0.25">
      <c r="A155" s="1">
        <v>45843</v>
      </c>
      <c r="B155" s="2">
        <v>-14</v>
      </c>
      <c r="C155" t="s">
        <v>25</v>
      </c>
      <c r="D155" s="2">
        <f t="shared" si="4"/>
        <v>546.98999999999978</v>
      </c>
    </row>
    <row r="156" spans="1:5" x14ac:dyDescent="0.25">
      <c r="A156" s="1">
        <v>45843</v>
      </c>
      <c r="B156" s="2">
        <v>-20</v>
      </c>
      <c r="C156" t="s">
        <v>42</v>
      </c>
      <c r="D156" s="2">
        <f t="shared" si="4"/>
        <v>526.98999999999978</v>
      </c>
    </row>
    <row r="157" spans="1:5" x14ac:dyDescent="0.25">
      <c r="A157" s="1">
        <v>45844</v>
      </c>
      <c r="B157" s="2">
        <v>-8</v>
      </c>
      <c r="C157" t="s">
        <v>8</v>
      </c>
      <c r="D157" s="2">
        <f t="shared" si="4"/>
        <v>518.98999999999978</v>
      </c>
    </row>
    <row r="158" spans="1:5" x14ac:dyDescent="0.25">
      <c r="A158" s="1">
        <v>45844</v>
      </c>
      <c r="B158" s="2">
        <v>-10</v>
      </c>
      <c r="C158" t="s">
        <v>23</v>
      </c>
      <c r="D158" s="2">
        <f t="shared" si="4"/>
        <v>508.98999999999978</v>
      </c>
    </row>
    <row r="159" spans="1:5" x14ac:dyDescent="0.25">
      <c r="A159" s="1">
        <v>45846</v>
      </c>
      <c r="B159" s="2">
        <v>-99.9</v>
      </c>
      <c r="C159" t="s">
        <v>6</v>
      </c>
      <c r="D159" s="2">
        <f t="shared" si="4"/>
        <v>409.0899999999998</v>
      </c>
    </row>
    <row r="160" spans="1:5" x14ac:dyDescent="0.25">
      <c r="A160" s="1">
        <v>45848</v>
      </c>
      <c r="B160" s="2">
        <v>-20</v>
      </c>
      <c r="C160" t="s">
        <v>25</v>
      </c>
      <c r="D160" s="2">
        <f t="shared" si="4"/>
        <v>389.0899999999998</v>
      </c>
    </row>
    <row r="161" spans="1:4" x14ac:dyDescent="0.25">
      <c r="A161" s="1">
        <v>45848</v>
      </c>
      <c r="B161" s="2">
        <v>-61.12</v>
      </c>
      <c r="C161" t="s">
        <v>52</v>
      </c>
      <c r="D161" s="2">
        <f t="shared" si="4"/>
        <v>327.9699999999998</v>
      </c>
    </row>
    <row r="162" spans="1:4" x14ac:dyDescent="0.25">
      <c r="A162" s="1">
        <v>45848</v>
      </c>
      <c r="B162" s="2">
        <v>-56.78</v>
      </c>
      <c r="C162" t="s">
        <v>42</v>
      </c>
      <c r="D162" s="2">
        <f t="shared" si="4"/>
        <v>271.18999999999983</v>
      </c>
    </row>
    <row r="163" spans="1:4" x14ac:dyDescent="0.25">
      <c r="A163" s="1">
        <v>45849</v>
      </c>
      <c r="B163" s="2">
        <v>-25</v>
      </c>
      <c r="C163" t="s">
        <v>28</v>
      </c>
      <c r="D163" s="2">
        <f t="shared" si="4"/>
        <v>246.18999999999983</v>
      </c>
    </row>
    <row r="164" spans="1:4" x14ac:dyDescent="0.25">
      <c r="A164" s="1">
        <v>45849</v>
      </c>
      <c r="B164" s="2">
        <v>-40</v>
      </c>
      <c r="C164" t="s">
        <v>53</v>
      </c>
      <c r="D164" s="2">
        <f t="shared" si="4"/>
        <v>206.18999999999983</v>
      </c>
    </row>
    <row r="165" spans="1:4" x14ac:dyDescent="0.25">
      <c r="A165" s="1">
        <v>45850</v>
      </c>
      <c r="B165" s="2">
        <v>-36.200000000000003</v>
      </c>
      <c r="C165" t="s">
        <v>37</v>
      </c>
      <c r="D165" s="2">
        <f t="shared" si="4"/>
        <v>169.98999999999984</v>
      </c>
    </row>
    <row r="166" spans="1:4" x14ac:dyDescent="0.25">
      <c r="A166" s="1">
        <v>45851</v>
      </c>
      <c r="B166" s="2">
        <v>-20</v>
      </c>
      <c r="C166" t="s">
        <v>15</v>
      </c>
      <c r="D166" s="2">
        <f t="shared" si="4"/>
        <v>149.98999999999984</v>
      </c>
    </row>
    <row r="167" spans="1:4" x14ac:dyDescent="0.25">
      <c r="A167" s="1">
        <v>45852</v>
      </c>
      <c r="B167" s="2">
        <v>-9.9600000000000009</v>
      </c>
      <c r="C167" t="s">
        <v>37</v>
      </c>
      <c r="D167" s="2">
        <f t="shared" si="4"/>
        <v>140.02999999999983</v>
      </c>
    </row>
    <row r="168" spans="1:4" x14ac:dyDescent="0.25">
      <c r="A168" s="1">
        <v>45852</v>
      </c>
      <c r="B168" s="2">
        <v>-24.2</v>
      </c>
      <c r="C168" t="s">
        <v>50</v>
      </c>
      <c r="D168" s="2">
        <f>D167+B168</f>
        <v>115.82999999999983</v>
      </c>
    </row>
    <row r="169" spans="1:4" x14ac:dyDescent="0.25">
      <c r="A169" s="1">
        <v>45853</v>
      </c>
      <c r="B169" s="2">
        <v>908</v>
      </c>
      <c r="C169" t="s">
        <v>4</v>
      </c>
      <c r="D169" s="2">
        <f>D168+B169</f>
        <v>1023.8299999999998</v>
      </c>
    </row>
    <row r="170" spans="1:4" x14ac:dyDescent="0.25">
      <c r="A170" s="1">
        <v>45854</v>
      </c>
      <c r="B170" s="2">
        <v>-40</v>
      </c>
      <c r="C170" t="s">
        <v>19</v>
      </c>
      <c r="D170" s="2">
        <f>D169+B170</f>
        <v>983.82999999999981</v>
      </c>
    </row>
    <row r="171" spans="1:4" x14ac:dyDescent="0.25">
      <c r="A171" s="1">
        <v>45855</v>
      </c>
      <c r="B171" s="2">
        <v>-9.91</v>
      </c>
      <c r="C171" t="s">
        <v>37</v>
      </c>
      <c r="D171" s="2">
        <f t="shared" ref="D171:D172" si="5">D170+B171</f>
        <v>973.91999999999985</v>
      </c>
    </row>
    <row r="172" spans="1:4" x14ac:dyDescent="0.25">
      <c r="A172" s="1">
        <v>45855</v>
      </c>
      <c r="B172" s="2">
        <v>-70</v>
      </c>
      <c r="C172" t="s">
        <v>43</v>
      </c>
      <c r="D172" s="2">
        <f t="shared" si="5"/>
        <v>903.91999999999985</v>
      </c>
    </row>
    <row r="173" spans="1:4" x14ac:dyDescent="0.25">
      <c r="A173" s="1">
        <v>45855</v>
      </c>
      <c r="B173" s="2">
        <v>-11.5</v>
      </c>
      <c r="C173" t="s">
        <v>7</v>
      </c>
      <c r="D173" s="2">
        <f>D172+B173</f>
        <v>892.41999999999985</v>
      </c>
    </row>
    <row r="174" spans="1:4" x14ac:dyDescent="0.25">
      <c r="A174" s="1">
        <v>45857</v>
      </c>
      <c r="B174" s="2">
        <v>-90</v>
      </c>
      <c r="C174" t="s">
        <v>54</v>
      </c>
      <c r="D174" s="2">
        <f t="shared" ref="D174:D210" si="6">D173+B174</f>
        <v>802.41999999999985</v>
      </c>
    </row>
    <row r="175" spans="1:4" x14ac:dyDescent="0.25">
      <c r="A175" s="1">
        <v>45858</v>
      </c>
      <c r="B175" s="2">
        <v>-30</v>
      </c>
      <c r="C175" t="s">
        <v>21</v>
      </c>
      <c r="D175" s="2">
        <f t="shared" si="6"/>
        <v>772.41999999999985</v>
      </c>
    </row>
    <row r="176" spans="1:4" x14ac:dyDescent="0.25">
      <c r="A176" s="1">
        <v>45860</v>
      </c>
      <c r="B176" s="2">
        <v>-40</v>
      </c>
      <c r="C176" t="s">
        <v>55</v>
      </c>
      <c r="D176" s="2">
        <f t="shared" si="6"/>
        <v>732.41999999999985</v>
      </c>
    </row>
    <row r="177" spans="1:4" x14ac:dyDescent="0.25">
      <c r="A177" s="1">
        <v>45863</v>
      </c>
      <c r="B177" s="2">
        <v>-9</v>
      </c>
      <c r="C177" t="s">
        <v>8</v>
      </c>
      <c r="D177" s="2">
        <f t="shared" si="6"/>
        <v>723.41999999999985</v>
      </c>
    </row>
    <row r="178" spans="1:4" x14ac:dyDescent="0.25">
      <c r="A178" s="1">
        <v>45863</v>
      </c>
      <c r="B178" s="2">
        <v>-22.8</v>
      </c>
      <c r="C178" t="s">
        <v>16</v>
      </c>
      <c r="D178" s="2">
        <f t="shared" si="6"/>
        <v>700.61999999999989</v>
      </c>
    </row>
    <row r="179" spans="1:4" x14ac:dyDescent="0.25">
      <c r="A179" s="1">
        <v>45863</v>
      </c>
      <c r="B179" s="2">
        <v>-31.1</v>
      </c>
      <c r="C179" t="s">
        <v>55</v>
      </c>
      <c r="D179" s="2">
        <f t="shared" si="6"/>
        <v>669.51999999999987</v>
      </c>
    </row>
    <row r="180" spans="1:4" x14ac:dyDescent="0.25">
      <c r="A180" s="1">
        <v>45864</v>
      </c>
      <c r="B180" s="2">
        <v>-20</v>
      </c>
      <c r="C180" t="s">
        <v>55</v>
      </c>
      <c r="D180" s="2">
        <f t="shared" si="6"/>
        <v>649.51999999999987</v>
      </c>
    </row>
    <row r="181" spans="1:4" x14ac:dyDescent="0.25">
      <c r="A181" s="1">
        <v>45865</v>
      </c>
      <c r="B181" s="2">
        <v>-30</v>
      </c>
      <c r="C181" t="s">
        <v>28</v>
      </c>
      <c r="D181" s="2">
        <f t="shared" si="6"/>
        <v>619.51999999999987</v>
      </c>
    </row>
    <row r="182" spans="1:4" x14ac:dyDescent="0.25">
      <c r="A182" s="1">
        <v>45865</v>
      </c>
      <c r="B182" s="2">
        <v>-25</v>
      </c>
      <c r="C182" t="s">
        <v>44</v>
      </c>
      <c r="D182" s="2">
        <f t="shared" si="6"/>
        <v>594.51999999999987</v>
      </c>
    </row>
    <row r="183" spans="1:4" x14ac:dyDescent="0.25">
      <c r="A183" s="1">
        <v>45866</v>
      </c>
      <c r="B183" s="2">
        <v>-14.75</v>
      </c>
      <c r="C183" t="s">
        <v>7</v>
      </c>
      <c r="D183" s="2">
        <f t="shared" si="6"/>
        <v>579.76999999999987</v>
      </c>
    </row>
    <row r="184" spans="1:4" x14ac:dyDescent="0.25">
      <c r="A184" s="1">
        <v>45866</v>
      </c>
      <c r="B184" s="2">
        <v>-14.75</v>
      </c>
      <c r="C184" t="s">
        <v>7</v>
      </c>
      <c r="D184" s="2">
        <f t="shared" si="6"/>
        <v>565.01999999999987</v>
      </c>
    </row>
    <row r="185" spans="1:4" x14ac:dyDescent="0.25">
      <c r="A185" s="1">
        <v>45868</v>
      </c>
      <c r="B185" s="2">
        <v>1022.27</v>
      </c>
      <c r="C185" t="s">
        <v>17</v>
      </c>
      <c r="D185" s="2">
        <f t="shared" si="6"/>
        <v>1587.29</v>
      </c>
    </row>
    <row r="186" spans="1:4" x14ac:dyDescent="0.25">
      <c r="A186" s="1">
        <v>45868</v>
      </c>
      <c r="B186" s="2">
        <v>-500</v>
      </c>
      <c r="C186" t="s">
        <v>35</v>
      </c>
      <c r="D186" s="2">
        <f t="shared" si="6"/>
        <v>1087.29</v>
      </c>
    </row>
    <row r="187" spans="1:4" x14ac:dyDescent="0.25">
      <c r="A187" s="1">
        <v>45870</v>
      </c>
      <c r="B187" s="2">
        <v>-9.99</v>
      </c>
      <c r="C187" t="s">
        <v>8</v>
      </c>
      <c r="D187" s="2">
        <f t="shared" si="6"/>
        <v>1077.3</v>
      </c>
    </row>
    <row r="188" spans="1:4" x14ac:dyDescent="0.25">
      <c r="A188" s="1">
        <v>45870</v>
      </c>
      <c r="B188" s="2">
        <v>-110.08</v>
      </c>
      <c r="C188" t="s">
        <v>56</v>
      </c>
      <c r="D188" s="2">
        <f t="shared" si="6"/>
        <v>967.21999999999991</v>
      </c>
    </row>
    <row r="189" spans="1:4" x14ac:dyDescent="0.25">
      <c r="A189" s="1">
        <v>45870</v>
      </c>
      <c r="B189" s="2">
        <v>-14.9</v>
      </c>
      <c r="C189" t="s">
        <v>57</v>
      </c>
      <c r="D189" s="2">
        <f t="shared" si="6"/>
        <v>952.31999999999994</v>
      </c>
    </row>
    <row r="190" spans="1:4" x14ac:dyDescent="0.25">
      <c r="A190" s="1">
        <v>45871</v>
      </c>
      <c r="B190" s="2">
        <v>-14.75</v>
      </c>
      <c r="C190" t="s">
        <v>7</v>
      </c>
      <c r="D190" s="2">
        <f t="shared" si="6"/>
        <v>937.56999999999994</v>
      </c>
    </row>
    <row r="191" spans="1:4" x14ac:dyDescent="0.25">
      <c r="A191" s="1">
        <v>45870</v>
      </c>
      <c r="B191" s="2">
        <v>-47.96</v>
      </c>
      <c r="C191" t="s">
        <v>10</v>
      </c>
      <c r="D191" s="2">
        <f t="shared" si="6"/>
        <v>889.6099999999999</v>
      </c>
    </row>
    <row r="192" spans="1:4" x14ac:dyDescent="0.25">
      <c r="A192" s="1">
        <v>45872</v>
      </c>
      <c r="B192" s="2">
        <v>-56</v>
      </c>
      <c r="C192" t="s">
        <v>58</v>
      </c>
      <c r="D192" s="2">
        <f t="shared" si="6"/>
        <v>833.6099999999999</v>
      </c>
    </row>
    <row r="193" spans="1:4" x14ac:dyDescent="0.25">
      <c r="A193" s="1">
        <v>45870</v>
      </c>
      <c r="B193" s="2">
        <v>-16.75</v>
      </c>
      <c r="C193" t="s">
        <v>7</v>
      </c>
      <c r="D193" s="2">
        <f t="shared" si="6"/>
        <v>816.8599999999999</v>
      </c>
    </row>
    <row r="194" spans="1:4" x14ac:dyDescent="0.25">
      <c r="A194" s="1">
        <v>45873</v>
      </c>
      <c r="B194" s="2">
        <v>-228.04</v>
      </c>
      <c r="C194" t="s">
        <v>5</v>
      </c>
      <c r="D194" s="2">
        <f t="shared" si="6"/>
        <v>588.81999999999994</v>
      </c>
    </row>
    <row r="195" spans="1:4" x14ac:dyDescent="0.25">
      <c r="A195" s="1">
        <v>45873</v>
      </c>
      <c r="B195" s="2">
        <v>-59</v>
      </c>
      <c r="C195" t="s">
        <v>59</v>
      </c>
      <c r="D195" s="2">
        <f t="shared" si="6"/>
        <v>529.81999999999994</v>
      </c>
    </row>
    <row r="196" spans="1:4" x14ac:dyDescent="0.25">
      <c r="A196" s="1">
        <v>45873</v>
      </c>
      <c r="B196" s="2">
        <v>-15</v>
      </c>
      <c r="C196" t="s">
        <v>8</v>
      </c>
      <c r="D196" s="2">
        <f t="shared" si="6"/>
        <v>514.81999999999994</v>
      </c>
    </row>
    <row r="197" spans="1:4" x14ac:dyDescent="0.25">
      <c r="A197" s="1">
        <v>45873</v>
      </c>
      <c r="B197" s="2">
        <v>-246.37</v>
      </c>
      <c r="C197" t="s">
        <v>60</v>
      </c>
      <c r="D197" s="2">
        <f t="shared" si="6"/>
        <v>268.44999999999993</v>
      </c>
    </row>
    <row r="198" spans="1:4" x14ac:dyDescent="0.25">
      <c r="A198" s="1">
        <v>45875</v>
      </c>
      <c r="B198" s="2">
        <v>-99.9</v>
      </c>
      <c r="C198" t="s">
        <v>6</v>
      </c>
      <c r="D198" s="2">
        <f t="shared" si="6"/>
        <v>168.54999999999993</v>
      </c>
    </row>
    <row r="199" spans="1:4" x14ac:dyDescent="0.25">
      <c r="A199" s="1">
        <v>45876</v>
      </c>
      <c r="B199" s="2">
        <v>-9.99</v>
      </c>
      <c r="C199" t="s">
        <v>23</v>
      </c>
      <c r="D199" s="2">
        <f t="shared" si="6"/>
        <v>158.55999999999992</v>
      </c>
    </row>
    <row r="200" spans="1:4" x14ac:dyDescent="0.25">
      <c r="A200" s="1">
        <v>45877</v>
      </c>
      <c r="B200" s="2">
        <v>-7.9</v>
      </c>
      <c r="C200" t="s">
        <v>8</v>
      </c>
      <c r="D200" s="2">
        <f t="shared" si="6"/>
        <v>150.65999999999991</v>
      </c>
    </row>
    <row r="201" spans="1:4" x14ac:dyDescent="0.25">
      <c r="A201" s="1">
        <v>45877</v>
      </c>
      <c r="B201" s="2">
        <v>-6.5</v>
      </c>
      <c r="C201" t="s">
        <v>8</v>
      </c>
      <c r="D201" s="2">
        <f t="shared" si="6"/>
        <v>144.15999999999991</v>
      </c>
    </row>
    <row r="202" spans="1:4" x14ac:dyDescent="0.25">
      <c r="A202" s="1">
        <v>45877</v>
      </c>
      <c r="B202" s="2">
        <v>-15</v>
      </c>
      <c r="C202" t="s">
        <v>25</v>
      </c>
      <c r="D202" s="2">
        <f t="shared" si="6"/>
        <v>129.15999999999991</v>
      </c>
    </row>
    <row r="203" spans="1:4" x14ac:dyDescent="0.25">
      <c r="A203" s="1">
        <v>45878</v>
      </c>
      <c r="B203" s="2">
        <v>-61.12</v>
      </c>
      <c r="C203" t="s">
        <v>52</v>
      </c>
      <c r="D203" s="2">
        <f t="shared" si="6"/>
        <v>68.039999999999907</v>
      </c>
    </row>
    <row r="204" spans="1:4" x14ac:dyDescent="0.25">
      <c r="A204" s="1">
        <v>45878</v>
      </c>
      <c r="B204" s="2">
        <v>-18.88</v>
      </c>
      <c r="C204" t="s">
        <v>42</v>
      </c>
      <c r="D204" s="2">
        <f t="shared" si="6"/>
        <v>49.159999999999911</v>
      </c>
    </row>
    <row r="205" spans="1:4" x14ac:dyDescent="0.25">
      <c r="A205" s="1">
        <v>45878</v>
      </c>
      <c r="B205" s="2">
        <v>-50</v>
      </c>
      <c r="C205" t="s">
        <v>44</v>
      </c>
      <c r="D205" s="2">
        <f t="shared" si="6"/>
        <v>-0.84000000000008868</v>
      </c>
    </row>
    <row r="206" spans="1:4" x14ac:dyDescent="0.25">
      <c r="A206" s="1">
        <v>45879</v>
      </c>
      <c r="B206" s="2">
        <v>-59.9</v>
      </c>
      <c r="C206" t="s">
        <v>61</v>
      </c>
      <c r="D206" s="2">
        <f t="shared" si="6"/>
        <v>-60.740000000000087</v>
      </c>
    </row>
    <row r="207" spans="1:4" x14ac:dyDescent="0.25">
      <c r="A207" s="1">
        <v>45881</v>
      </c>
      <c r="B207" s="2">
        <v>-20</v>
      </c>
      <c r="C207" t="s">
        <v>15</v>
      </c>
      <c r="D207" s="2">
        <f t="shared" si="6"/>
        <v>-80.740000000000094</v>
      </c>
    </row>
    <row r="208" spans="1:4" x14ac:dyDescent="0.25">
      <c r="A208" s="1">
        <v>45882</v>
      </c>
      <c r="B208" s="2">
        <v>-10</v>
      </c>
      <c r="C208" t="s">
        <v>8</v>
      </c>
      <c r="D208" s="2">
        <f t="shared" si="6"/>
        <v>-90.740000000000094</v>
      </c>
    </row>
    <row r="209" spans="1:4" x14ac:dyDescent="0.25">
      <c r="A209" s="1">
        <v>45884</v>
      </c>
      <c r="B209" s="2">
        <v>-10</v>
      </c>
      <c r="C209" t="s">
        <v>8</v>
      </c>
      <c r="D209" s="2">
        <f t="shared" si="6"/>
        <v>-100.74000000000009</v>
      </c>
    </row>
    <row r="210" spans="1:4" x14ac:dyDescent="0.25">
      <c r="A210" s="1">
        <v>45884</v>
      </c>
      <c r="B210" s="2">
        <v>908</v>
      </c>
      <c r="C210" t="s">
        <v>4</v>
      </c>
      <c r="D210" s="2">
        <f t="shared" si="6"/>
        <v>807.25999999999988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VITOR GONCALVES</dc:creator>
  <cp:lastModifiedBy>JOSE VITOR GONCALVES</cp:lastModifiedBy>
  <dcterms:created xsi:type="dcterms:W3CDTF">2025-04-29T12:08:32Z</dcterms:created>
  <dcterms:modified xsi:type="dcterms:W3CDTF">2025-08-15T14:22:37Z</dcterms:modified>
</cp:coreProperties>
</file>